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lal Data\ÉTS\LOG660\"/>
    </mc:Choice>
  </mc:AlternateContent>
  <xr:revisionPtr revIDLastSave="0" documentId="13_ncr:1_{D8AC04B5-1E17-4486-BE47-9294B406FBF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Lab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3" l="1"/>
  <c r="C5" i="3" l="1"/>
  <c r="C54" i="3"/>
  <c r="C46" i="3"/>
  <c r="C41" i="3"/>
  <c r="C38" i="3"/>
  <c r="C28" i="3"/>
  <c r="C62" i="3" s="1"/>
  <c r="B28" i="3"/>
  <c r="C26" i="3"/>
  <c r="C24" i="3"/>
  <c r="C21" i="3"/>
  <c r="C14" i="3"/>
  <c r="B14" i="3"/>
  <c r="C11" i="3"/>
  <c r="C59" i="3" l="1"/>
  <c r="C61" i="3"/>
  <c r="C60" i="3"/>
</calcChain>
</file>

<file path=xl/sharedStrings.xml><?xml version="1.0" encoding="utf-8"?>
<sst xmlns="http://schemas.openxmlformats.org/spreadsheetml/2006/main" count="75" uniqueCount="70">
  <si>
    <t>Log660 - Laboratoire 2</t>
  </si>
  <si>
    <t xml:space="preserve">Équipe : </t>
  </si>
  <si>
    <t xml:space="preserve">Étudiants : </t>
  </si>
  <si>
    <t>Pondération</t>
  </si>
  <si>
    <t>Note</t>
  </si>
  <si>
    <t>Manuel utilisateur</t>
  </si>
  <si>
    <t>- Cas 2 : Connexion au systeme</t>
  </si>
  <si>
    <t>- Cas 3 : Consultation de films</t>
  </si>
  <si>
    <t>- Cas 4 : Location de films</t>
  </si>
  <si>
    <t>- Cas d' erreurs</t>
  </si>
  <si>
    <t>(-1)</t>
  </si>
  <si>
    <t>- Utilisation de données utilisateur</t>
  </si>
  <si>
    <t>Stratégie de test</t>
  </si>
  <si>
    <t>- Description</t>
  </si>
  <si>
    <t>- Implémentation</t>
  </si>
  <si>
    <t>Conception et contraintes</t>
  </si>
  <si>
    <t xml:space="preserve"> - Patrons de conception</t>
  </si>
  <si>
    <t xml:space="preserve"> - Validation des contraintes</t>
  </si>
  <si>
    <t xml:space="preserve"> - Validation de l’accès</t>
  </si>
  <si>
    <t xml:space="preserve"> - Difficultés rencontrées</t>
  </si>
  <si>
    <t xml:space="preserve"> - Code de mappage et justification</t>
  </si>
  <si>
    <t xml:space="preserve"> - Planification des tâches</t>
  </si>
  <si>
    <t>Question 1</t>
  </si>
  <si>
    <t>- Avantages</t>
  </si>
  <si>
    <t>- Contexte(s) sont pas utiles</t>
  </si>
  <si>
    <t>Question 2</t>
  </si>
  <si>
    <t xml:space="preserve"> - À quoi sert le patron de façade</t>
  </si>
  <si>
    <t>Connexion d’un utilisateur au système</t>
  </si>
  <si>
    <t xml:space="preserve"> - Connexion par courriel</t>
  </si>
  <si>
    <t>Recherche de film</t>
  </si>
  <si>
    <t xml:space="preserve"> - Par titre</t>
  </si>
  <si>
    <t xml:space="preserve"> - Par intervale de l'année de sortie du ﬁlm</t>
  </si>
  <si>
    <t xml:space="preserve"> - Validation du format de l'année</t>
  </si>
  <si>
    <t>(-2)</t>
  </si>
  <si>
    <t xml:space="preserve"> - Par le nom d’un des pays de production</t>
  </si>
  <si>
    <t xml:space="preserve"> - Par la langue originale du ﬁlm</t>
  </si>
  <si>
    <t xml:space="preserve"> - Par le nom d’un des genres du ﬁlm</t>
  </si>
  <si>
    <t xml:space="preserve"> - Par le nom du réalisateur</t>
  </si>
  <si>
    <t xml:space="preserve"> - Par le nom d'un des acteurs</t>
  </si>
  <si>
    <t>Consultation de films</t>
  </si>
  <si>
    <t>- Consultation d'un film</t>
  </si>
  <si>
    <t>- Consultation des acteurs et réalisateurs</t>
  </si>
  <si>
    <t>Location de films</t>
  </si>
  <si>
    <t xml:space="preserve"> - Location de films</t>
  </si>
  <si>
    <t>Pénalités</t>
  </si>
  <si>
    <t xml:space="preserve"> - Indications claires de ce qui se passe</t>
  </si>
  <si>
    <t xml:space="preserve"> - Location de films après limite inventaire</t>
  </si>
  <si>
    <t>Français</t>
  </si>
  <si>
    <t xml:space="preserve"> - Location de films après limite utilisateur</t>
  </si>
  <si>
    <t>Propreté du code (lisibilité)</t>
  </si>
  <si>
    <t>Autre élément du code source</t>
  </si>
  <si>
    <t xml:space="preserve"> - Bande annonce</t>
  </si>
  <si>
    <t>(+2)</t>
  </si>
  <si>
    <t xml:space="preserve"> - Utilisations non-prévues et autres cas d’erreurs</t>
  </si>
  <si>
    <t>Non-respect des critères de remise</t>
  </si>
  <si>
    <t xml:space="preserve"> - Non utilisation d'un ORM</t>
  </si>
  <si>
    <t>(-15)</t>
  </si>
  <si>
    <t xml:space="preserve"> - Autre</t>
  </si>
  <si>
    <t>Total</t>
  </si>
  <si>
    <t>Lab2_Q3C1</t>
  </si>
  <si>
    <t>&lt;Outside&gt;</t>
  </si>
  <si>
    <t>Lab2_Q4C2</t>
  </si>
  <si>
    <t>Lab2_Q4C4</t>
  </si>
  <si>
    <t>screenshots ?</t>
  </si>
  <si>
    <t xml:space="preserve"> - Mannque de films dans la BD</t>
  </si>
  <si>
    <t>pas de copies des films</t>
  </si>
  <si>
    <t>Qualité du rapport</t>
  </si>
  <si>
    <t>Mise en page, pagination, titres des sections</t>
  </si>
  <si>
    <t>Professionalisme du rapport en générale</t>
  </si>
  <si>
    <t>évaluation des pairs (manque ou note faible)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</si>
</sst>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wrapText="1"/>
    </xf>
    <xf numFmtId="0" fontId="5" fillId="0" borderId="0" xfId="0" applyFont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7" fillId="3" borderId="0" xfId="0" applyFont="1" applyFill="1"/>
    <xf numFmtId="3" fontId="8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horizontal="right"/>
    </xf>
    <xf numFmtId="0" fontId="10" fillId="0" borderId="0" xfId="0" applyFont="1"/>
    <xf numFmtId="0" fontId="10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31"/>
  <sheetViews>
    <sheetView tabSelected="1" topLeftCell="A14" zoomScale="70" zoomScaleNormal="70" workbookViewId="0">
      <selection activeCell="D36" sqref="D36"/>
    </sheetView>
  </sheetViews>
  <sheetFormatPr defaultColWidth="14.40625" defaultRowHeight="15.75" customHeight="1" x14ac:dyDescent="0.6"/>
  <cols>
    <col min="1" max="1" width="43.40625" customWidth="1"/>
    <col min="2" max="2" width="12.26953125" customWidth="1"/>
    <col min="3" max="3" width="8.54296875" customWidth="1"/>
    <col min="4" max="4" width="51" customWidth="1"/>
  </cols>
  <sheetData>
    <row r="1" spans="1:23" ht="15.75" customHeight="1" x14ac:dyDescent="0.6">
      <c r="A1" s="24" t="s">
        <v>0</v>
      </c>
      <c r="B1" s="23"/>
      <c r="C1" s="23"/>
      <c r="D1" s="2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6">
      <c r="A2" s="22" t="s">
        <v>1</v>
      </c>
      <c r="B2" s="23"/>
      <c r="C2" s="23"/>
      <c r="D2" s="2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6">
      <c r="A3" s="22" t="s">
        <v>2</v>
      </c>
      <c r="B3" s="23"/>
      <c r="C3" s="23"/>
      <c r="D3" s="2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6">
      <c r="A4" s="2"/>
      <c r="B4" s="2" t="s">
        <v>3</v>
      </c>
      <c r="C4" s="2" t="s">
        <v>4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6">
      <c r="A5" s="3" t="s">
        <v>5</v>
      </c>
      <c r="B5" s="4">
        <v>5</v>
      </c>
      <c r="C5" s="4">
        <f>SUM(C6:C10)</f>
        <v>5</v>
      </c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6">
      <c r="A6" s="6" t="s">
        <v>6</v>
      </c>
      <c r="B6" s="8">
        <v>1</v>
      </c>
      <c r="C6" s="8">
        <v>1</v>
      </c>
      <c r="D6" s="10" t="s">
        <v>63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6">
      <c r="A7" s="6" t="s">
        <v>7</v>
      </c>
      <c r="B7" s="8">
        <v>3</v>
      </c>
      <c r="C7" s="8">
        <v>3</v>
      </c>
      <c r="D7" s="10" t="s">
        <v>63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6">
      <c r="A8" s="6" t="s">
        <v>8</v>
      </c>
      <c r="B8" s="8">
        <v>1</v>
      </c>
      <c r="C8" s="8">
        <v>1</v>
      </c>
      <c r="D8" s="10" t="s">
        <v>63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6">
      <c r="A9" s="6" t="s">
        <v>9</v>
      </c>
      <c r="B9" s="8" t="s">
        <v>10</v>
      </c>
      <c r="C9" s="7"/>
      <c r="D9" s="10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6">
      <c r="A10" s="6" t="s">
        <v>11</v>
      </c>
      <c r="B10" s="8" t="s">
        <v>10</v>
      </c>
      <c r="C10" s="7"/>
      <c r="D10" s="10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6">
      <c r="A11" s="3" t="s">
        <v>12</v>
      </c>
      <c r="B11" s="4">
        <v>5</v>
      </c>
      <c r="C11" s="4">
        <f>SUM(C12:C13)</f>
        <v>5</v>
      </c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6">
      <c r="A12" s="6" t="s">
        <v>13</v>
      </c>
      <c r="B12" s="8">
        <v>1</v>
      </c>
      <c r="C12" s="8">
        <v>1</v>
      </c>
      <c r="D12" s="1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6">
      <c r="A13" s="6" t="s">
        <v>14</v>
      </c>
      <c r="B13" s="8">
        <v>4</v>
      </c>
      <c r="C13" s="8">
        <v>4</v>
      </c>
      <c r="D13" s="1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6">
      <c r="A14" s="3" t="s">
        <v>15</v>
      </c>
      <c r="B14" s="4">
        <f t="shared" ref="B14:C14" si="0">SUM(B15:B20)</f>
        <v>20</v>
      </c>
      <c r="C14" s="4">
        <f t="shared" si="0"/>
        <v>20</v>
      </c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6">
      <c r="A15" s="6" t="s">
        <v>16</v>
      </c>
      <c r="B15" s="8">
        <v>5</v>
      </c>
      <c r="C15" s="8">
        <v>5</v>
      </c>
      <c r="D15" s="1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6">
      <c r="A16" s="6" t="s">
        <v>17</v>
      </c>
      <c r="B16" s="8">
        <v>2</v>
      </c>
      <c r="C16" s="8">
        <v>2</v>
      </c>
      <c r="D16" s="1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6">
      <c r="A17" s="6" t="s">
        <v>18</v>
      </c>
      <c r="B17" s="8">
        <v>2</v>
      </c>
      <c r="C17" s="8">
        <v>2</v>
      </c>
      <c r="D17" s="10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6">
      <c r="A18" s="6" t="s">
        <v>19</v>
      </c>
      <c r="B18" s="8">
        <v>2</v>
      </c>
      <c r="C18" s="8">
        <v>2</v>
      </c>
      <c r="D18" s="10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6">
      <c r="A19" s="6" t="s">
        <v>20</v>
      </c>
      <c r="B19" s="8">
        <v>5</v>
      </c>
      <c r="C19" s="8">
        <v>5</v>
      </c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6">
      <c r="A20" s="6" t="s">
        <v>21</v>
      </c>
      <c r="B20" s="8">
        <v>4</v>
      </c>
      <c r="C20" s="8">
        <v>4</v>
      </c>
      <c r="D20" s="1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6">
      <c r="A21" s="3" t="s">
        <v>22</v>
      </c>
      <c r="B21" s="4">
        <v>5</v>
      </c>
      <c r="C21" s="4">
        <f>SUM(C22:C23)</f>
        <v>3</v>
      </c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6">
      <c r="A22" s="6" t="s">
        <v>23</v>
      </c>
      <c r="B22" s="8">
        <v>2</v>
      </c>
      <c r="C22" s="8">
        <v>2</v>
      </c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3" x14ac:dyDescent="0.6">
      <c r="A23" s="6" t="s">
        <v>24</v>
      </c>
      <c r="B23" s="8">
        <v>3</v>
      </c>
      <c r="C23" s="8">
        <v>1</v>
      </c>
      <c r="D23" s="10"/>
      <c r="E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3" x14ac:dyDescent="0.6">
      <c r="A24" s="3" t="s">
        <v>25</v>
      </c>
      <c r="B24" s="4">
        <v>5</v>
      </c>
      <c r="C24" s="4">
        <f>C25</f>
        <v>2</v>
      </c>
      <c r="D24" s="5"/>
      <c r="E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" x14ac:dyDescent="0.6">
      <c r="A25" s="6" t="s">
        <v>26</v>
      </c>
      <c r="B25" s="8">
        <v>5</v>
      </c>
      <c r="C25" s="7">
        <v>2</v>
      </c>
      <c r="D25" s="10"/>
      <c r="E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3" x14ac:dyDescent="0.6">
      <c r="A26" s="3" t="s">
        <v>27</v>
      </c>
      <c r="B26" s="4">
        <v>5</v>
      </c>
      <c r="C26" s="4">
        <f>C27</f>
        <v>5</v>
      </c>
      <c r="D26" s="5"/>
      <c r="E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" x14ac:dyDescent="0.6">
      <c r="A27" s="6" t="s">
        <v>28</v>
      </c>
      <c r="B27" s="8">
        <v>5</v>
      </c>
      <c r="C27" s="7">
        <v>5</v>
      </c>
      <c r="D27" s="10"/>
      <c r="E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3" x14ac:dyDescent="0.6">
      <c r="A28" s="3" t="s">
        <v>29</v>
      </c>
      <c r="B28" s="4">
        <f t="shared" ref="B28:C28" si="1">SUM(B29:B37)</f>
        <v>30</v>
      </c>
      <c r="C28" s="4">
        <f t="shared" si="1"/>
        <v>26</v>
      </c>
      <c r="D28" s="5"/>
      <c r="E28" s="1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3" x14ac:dyDescent="0.6">
      <c r="A29" s="6" t="s">
        <v>30</v>
      </c>
      <c r="B29" s="8">
        <v>4</v>
      </c>
      <c r="C29" s="8">
        <v>3</v>
      </c>
      <c r="D29" s="10"/>
      <c r="E29" s="1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3" x14ac:dyDescent="0.6">
      <c r="A30" s="6" t="s">
        <v>31</v>
      </c>
      <c r="B30" s="8">
        <v>4</v>
      </c>
      <c r="C30" s="8">
        <v>4</v>
      </c>
      <c r="D30" s="10"/>
      <c r="E30" s="1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" x14ac:dyDescent="0.6">
      <c r="A31" s="6" t="s">
        <v>32</v>
      </c>
      <c r="B31" s="8" t="s">
        <v>33</v>
      </c>
      <c r="C31" s="8">
        <v>0</v>
      </c>
      <c r="D31" s="10"/>
      <c r="E31" s="1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" x14ac:dyDescent="0.6">
      <c r="A32" s="6" t="s">
        <v>34</v>
      </c>
      <c r="B32" s="8">
        <v>4</v>
      </c>
      <c r="C32" s="8">
        <v>4</v>
      </c>
      <c r="D32" s="10"/>
      <c r="E32" s="1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" x14ac:dyDescent="0.6">
      <c r="A33" s="6" t="s">
        <v>35</v>
      </c>
      <c r="B33" s="8">
        <v>4</v>
      </c>
      <c r="C33" s="8">
        <v>4</v>
      </c>
      <c r="D33" s="10"/>
      <c r="E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" x14ac:dyDescent="0.6">
      <c r="A34" s="6" t="s">
        <v>36</v>
      </c>
      <c r="B34" s="8">
        <v>4</v>
      </c>
      <c r="C34" s="8">
        <v>4</v>
      </c>
      <c r="D34" s="10"/>
      <c r="E34" s="1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" x14ac:dyDescent="0.6">
      <c r="A35" s="6" t="s">
        <v>37</v>
      </c>
      <c r="B35" s="8">
        <v>4</v>
      </c>
      <c r="C35" s="8">
        <v>3</v>
      </c>
      <c r="D35" s="10"/>
      <c r="E35" s="1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" x14ac:dyDescent="0.6">
      <c r="A36" s="6" t="s">
        <v>38</v>
      </c>
      <c r="B36" s="8">
        <v>6</v>
      </c>
      <c r="C36" s="8">
        <v>4</v>
      </c>
      <c r="D36" s="10"/>
      <c r="E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" x14ac:dyDescent="0.6">
      <c r="A37" s="6" t="s">
        <v>64</v>
      </c>
      <c r="B37" s="8"/>
      <c r="C37" s="7"/>
      <c r="D37" s="10"/>
      <c r="E37" s="1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" x14ac:dyDescent="0.6">
      <c r="A38" s="3" t="s">
        <v>39</v>
      </c>
      <c r="B38" s="4">
        <v>10</v>
      </c>
      <c r="C38" s="4">
        <f>SUM(C39:C40)</f>
        <v>10</v>
      </c>
      <c r="D38" s="5"/>
      <c r="E38" s="1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" x14ac:dyDescent="0.6">
      <c r="A39" s="6" t="s">
        <v>40</v>
      </c>
      <c r="B39" s="8">
        <v>5</v>
      </c>
      <c r="C39" s="8">
        <v>5</v>
      </c>
      <c r="D39" s="10"/>
      <c r="E39" s="1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" x14ac:dyDescent="0.6">
      <c r="A40" s="6" t="s">
        <v>41</v>
      </c>
      <c r="B40" s="8">
        <v>5</v>
      </c>
      <c r="C40" s="8">
        <v>5</v>
      </c>
      <c r="D40" s="10"/>
      <c r="E40" s="1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" x14ac:dyDescent="0.6">
      <c r="A41" s="3" t="s">
        <v>42</v>
      </c>
      <c r="B41" s="4">
        <v>10</v>
      </c>
      <c r="C41" s="4">
        <f>SUM(C42:C45)</f>
        <v>10</v>
      </c>
      <c r="D41" s="5"/>
      <c r="E41" s="1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" x14ac:dyDescent="0.6">
      <c r="A42" s="6" t="s">
        <v>43</v>
      </c>
      <c r="B42" s="8">
        <v>7</v>
      </c>
      <c r="C42" s="8">
        <v>7</v>
      </c>
      <c r="D42" s="10"/>
      <c r="E42" s="1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" x14ac:dyDescent="0.6">
      <c r="A43" s="6" t="s">
        <v>45</v>
      </c>
      <c r="B43" s="8">
        <v>3</v>
      </c>
      <c r="C43" s="8">
        <v>3</v>
      </c>
      <c r="D43" s="10"/>
      <c r="E43" s="1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" x14ac:dyDescent="0.6">
      <c r="A44" s="6" t="s">
        <v>46</v>
      </c>
      <c r="B44" s="8" t="s">
        <v>33</v>
      </c>
      <c r="C44" s="7">
        <v>0</v>
      </c>
      <c r="D44" s="10"/>
      <c r="E44" s="1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" x14ac:dyDescent="0.6">
      <c r="A45" s="6" t="s">
        <v>48</v>
      </c>
      <c r="B45" s="8" t="s">
        <v>33</v>
      </c>
      <c r="C45" s="7">
        <v>0</v>
      </c>
      <c r="D45" s="10"/>
      <c r="E45" s="1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" x14ac:dyDescent="0.6">
      <c r="A46" s="3" t="s">
        <v>50</v>
      </c>
      <c r="B46" s="4"/>
      <c r="C46" s="4">
        <f>SUM(C47:C50)</f>
        <v>0</v>
      </c>
      <c r="D46" s="5"/>
      <c r="E46" s="1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" x14ac:dyDescent="0.6">
      <c r="A47" s="6" t="s">
        <v>51</v>
      </c>
      <c r="B47" s="8" t="s">
        <v>52</v>
      </c>
      <c r="C47" s="7"/>
      <c r="D47" s="10"/>
      <c r="E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" x14ac:dyDescent="0.6">
      <c r="A48" s="6" t="s">
        <v>53</v>
      </c>
      <c r="B48" s="8">
        <v>-10</v>
      </c>
      <c r="C48" s="7"/>
      <c r="D48" s="10" t="s">
        <v>65</v>
      </c>
      <c r="E48" s="1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" x14ac:dyDescent="0.6">
      <c r="A49" s="6" t="s">
        <v>55</v>
      </c>
      <c r="B49" s="8" t="s">
        <v>56</v>
      </c>
      <c r="C49" s="7"/>
      <c r="D49" s="10"/>
      <c r="E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" x14ac:dyDescent="0.6">
      <c r="A50" s="6" t="s">
        <v>57</v>
      </c>
      <c r="B50" s="8"/>
      <c r="C50" s="7"/>
      <c r="D50" s="10"/>
      <c r="E50" s="1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" x14ac:dyDescent="0.6">
      <c r="A51" s="16" t="s">
        <v>66</v>
      </c>
      <c r="B51" s="4">
        <v>5</v>
      </c>
      <c r="C51" s="4">
        <f>SUM(C52:C53)</f>
        <v>5</v>
      </c>
      <c r="D51" s="5"/>
      <c r="E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" x14ac:dyDescent="0.6">
      <c r="A52" s="21" t="s">
        <v>67</v>
      </c>
      <c r="B52" s="19">
        <v>3</v>
      </c>
      <c r="C52" s="17">
        <v>3</v>
      </c>
      <c r="D52" s="18"/>
      <c r="E52" s="1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" x14ac:dyDescent="0.6">
      <c r="A53" s="21" t="s">
        <v>68</v>
      </c>
      <c r="B53" s="19">
        <v>2</v>
      </c>
      <c r="C53" s="17">
        <v>2</v>
      </c>
      <c r="D53" s="18"/>
      <c r="E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" x14ac:dyDescent="0.6">
      <c r="A54" s="3" t="s">
        <v>44</v>
      </c>
      <c r="B54" s="4"/>
      <c r="C54" s="4">
        <f>SUM(C55:C57)</f>
        <v>0</v>
      </c>
      <c r="D54" s="5"/>
      <c r="E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" x14ac:dyDescent="0.6">
      <c r="A55" s="6" t="s">
        <v>47</v>
      </c>
      <c r="B55" s="8"/>
      <c r="C55" s="7"/>
      <c r="D55" s="9"/>
      <c r="E55" s="1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" x14ac:dyDescent="0.6">
      <c r="A56" s="6" t="s">
        <v>49</v>
      </c>
      <c r="B56" s="8"/>
      <c r="C56" s="7"/>
      <c r="D56" s="9"/>
      <c r="E56" s="1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" x14ac:dyDescent="0.6">
      <c r="A57" s="6" t="s">
        <v>54</v>
      </c>
      <c r="B57" s="8"/>
      <c r="C57" s="7"/>
      <c r="D57" s="9"/>
      <c r="E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" x14ac:dyDescent="0.6">
      <c r="A58" s="20" t="s">
        <v>69</v>
      </c>
      <c r="B58" s="1"/>
      <c r="C58" s="1"/>
      <c r="D58" s="13"/>
      <c r="E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" x14ac:dyDescent="0.6">
      <c r="A59" s="1"/>
      <c r="B59" s="4" t="s">
        <v>58</v>
      </c>
      <c r="C59" s="4">
        <f>C5+C11+C14+C21+C24+C26+C28+C38+C41+C46+C54+C51</f>
        <v>91</v>
      </c>
      <c r="D59" s="5"/>
      <c r="E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5" x14ac:dyDescent="0.7">
      <c r="A60" s="1"/>
      <c r="B60" s="14" t="s">
        <v>59</v>
      </c>
      <c r="C60" s="15">
        <f>C11+C16</f>
        <v>7</v>
      </c>
      <c r="D60" s="1"/>
      <c r="E60" s="1" t="s">
        <v>60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5" x14ac:dyDescent="0.7">
      <c r="A61" s="1"/>
      <c r="B61" s="14" t="s">
        <v>61</v>
      </c>
      <c r="C61" s="15">
        <f>C19+C21+C24+C15</f>
        <v>15</v>
      </c>
      <c r="D61" s="1"/>
      <c r="E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5" x14ac:dyDescent="0.7">
      <c r="A62" s="1"/>
      <c r="B62" s="14" t="s">
        <v>62</v>
      </c>
      <c r="C62" s="15">
        <f>C19+C28</f>
        <v>31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" x14ac:dyDescent="0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" x14ac:dyDescent="0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" x14ac:dyDescent="0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" x14ac:dyDescent="0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" x14ac:dyDescent="0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" x14ac:dyDescent="0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" x14ac:dyDescent="0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" x14ac:dyDescent="0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" x14ac:dyDescent="0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" x14ac:dyDescent="0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" x14ac:dyDescent="0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" x14ac:dyDescent="0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" x14ac:dyDescent="0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" x14ac:dyDescent="0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" x14ac:dyDescent="0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" x14ac:dyDescent="0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" x14ac:dyDescent="0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" x14ac:dyDescent="0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" x14ac:dyDescent="0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" x14ac:dyDescent="0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" x14ac:dyDescent="0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" x14ac:dyDescent="0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" x14ac:dyDescent="0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" x14ac:dyDescent="0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" x14ac:dyDescent="0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" x14ac:dyDescent="0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" x14ac:dyDescent="0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" x14ac:dyDescent="0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" x14ac:dyDescent="0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" x14ac:dyDescent="0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" x14ac:dyDescent="0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" x14ac:dyDescent="0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" x14ac:dyDescent="0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" x14ac:dyDescent="0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" x14ac:dyDescent="0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" x14ac:dyDescent="0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" x14ac:dyDescent="0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" x14ac:dyDescent="0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" x14ac:dyDescent="0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" x14ac:dyDescent="0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" x14ac:dyDescent="0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" x14ac:dyDescent="0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" x14ac:dyDescent="0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" x14ac:dyDescent="0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" x14ac:dyDescent="0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" x14ac:dyDescent="0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" x14ac:dyDescent="0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" x14ac:dyDescent="0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" x14ac:dyDescent="0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" x14ac:dyDescent="0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" x14ac:dyDescent="0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" x14ac:dyDescent="0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" x14ac:dyDescent="0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" x14ac:dyDescent="0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" x14ac:dyDescent="0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" x14ac:dyDescent="0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" x14ac:dyDescent="0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" x14ac:dyDescent="0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" x14ac:dyDescent="0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" x14ac:dyDescent="0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" x14ac:dyDescent="0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" x14ac:dyDescent="0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" x14ac:dyDescent="0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" x14ac:dyDescent="0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" x14ac:dyDescent="0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" x14ac:dyDescent="0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" x14ac:dyDescent="0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" x14ac:dyDescent="0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" x14ac:dyDescent="0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" x14ac:dyDescent="0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" x14ac:dyDescent="0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" x14ac:dyDescent="0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" x14ac:dyDescent="0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" x14ac:dyDescent="0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" x14ac:dyDescent="0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" x14ac:dyDescent="0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" x14ac:dyDescent="0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" x14ac:dyDescent="0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" x14ac:dyDescent="0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" x14ac:dyDescent="0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" x14ac:dyDescent="0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" x14ac:dyDescent="0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" x14ac:dyDescent="0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" x14ac:dyDescent="0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" x14ac:dyDescent="0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" x14ac:dyDescent="0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" x14ac:dyDescent="0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" x14ac:dyDescent="0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" x14ac:dyDescent="0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" x14ac:dyDescent="0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" x14ac:dyDescent="0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" x14ac:dyDescent="0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" x14ac:dyDescent="0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" x14ac:dyDescent="0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" x14ac:dyDescent="0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" x14ac:dyDescent="0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" x14ac:dyDescent="0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" x14ac:dyDescent="0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" x14ac:dyDescent="0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" x14ac:dyDescent="0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" x14ac:dyDescent="0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" x14ac:dyDescent="0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" x14ac:dyDescent="0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" x14ac:dyDescent="0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" x14ac:dyDescent="0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" x14ac:dyDescent="0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" x14ac:dyDescent="0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" x14ac:dyDescent="0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" x14ac:dyDescent="0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" x14ac:dyDescent="0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" x14ac:dyDescent="0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" x14ac:dyDescent="0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" x14ac:dyDescent="0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" x14ac:dyDescent="0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" x14ac:dyDescent="0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" x14ac:dyDescent="0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" x14ac:dyDescent="0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" x14ac:dyDescent="0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" x14ac:dyDescent="0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" x14ac:dyDescent="0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" x14ac:dyDescent="0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" x14ac:dyDescent="0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" x14ac:dyDescent="0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" x14ac:dyDescent="0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" x14ac:dyDescent="0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" x14ac:dyDescent="0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" x14ac:dyDescent="0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" x14ac:dyDescent="0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" x14ac:dyDescent="0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" x14ac:dyDescent="0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" x14ac:dyDescent="0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" x14ac:dyDescent="0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" x14ac:dyDescent="0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" x14ac:dyDescent="0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" x14ac:dyDescent="0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" x14ac:dyDescent="0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" x14ac:dyDescent="0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" x14ac:dyDescent="0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" x14ac:dyDescent="0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" x14ac:dyDescent="0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" x14ac:dyDescent="0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" x14ac:dyDescent="0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" x14ac:dyDescent="0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" x14ac:dyDescent="0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" x14ac:dyDescent="0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" x14ac:dyDescent="0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" x14ac:dyDescent="0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" x14ac:dyDescent="0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" x14ac:dyDescent="0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" x14ac:dyDescent="0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" x14ac:dyDescent="0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" x14ac:dyDescent="0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" x14ac:dyDescent="0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" x14ac:dyDescent="0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" x14ac:dyDescent="0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" x14ac:dyDescent="0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" x14ac:dyDescent="0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" x14ac:dyDescent="0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" x14ac:dyDescent="0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" x14ac:dyDescent="0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" x14ac:dyDescent="0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" x14ac:dyDescent="0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" x14ac:dyDescent="0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" x14ac:dyDescent="0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" x14ac:dyDescent="0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" x14ac:dyDescent="0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" x14ac:dyDescent="0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" x14ac:dyDescent="0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" x14ac:dyDescent="0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" x14ac:dyDescent="0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" x14ac:dyDescent="0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" x14ac:dyDescent="0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" x14ac:dyDescent="0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" x14ac:dyDescent="0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" x14ac:dyDescent="0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" x14ac:dyDescent="0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" x14ac:dyDescent="0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" x14ac:dyDescent="0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" x14ac:dyDescent="0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" x14ac:dyDescent="0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" x14ac:dyDescent="0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" x14ac:dyDescent="0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" x14ac:dyDescent="0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" x14ac:dyDescent="0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" x14ac:dyDescent="0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" x14ac:dyDescent="0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" x14ac:dyDescent="0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" x14ac:dyDescent="0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" x14ac:dyDescent="0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" x14ac:dyDescent="0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" x14ac:dyDescent="0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" x14ac:dyDescent="0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" x14ac:dyDescent="0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" x14ac:dyDescent="0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" x14ac:dyDescent="0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" x14ac:dyDescent="0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" x14ac:dyDescent="0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" x14ac:dyDescent="0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" x14ac:dyDescent="0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" x14ac:dyDescent="0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" x14ac:dyDescent="0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" x14ac:dyDescent="0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" x14ac:dyDescent="0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" x14ac:dyDescent="0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" x14ac:dyDescent="0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" x14ac:dyDescent="0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" x14ac:dyDescent="0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" x14ac:dyDescent="0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" x14ac:dyDescent="0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" x14ac:dyDescent="0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" x14ac:dyDescent="0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" x14ac:dyDescent="0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" x14ac:dyDescent="0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" x14ac:dyDescent="0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" x14ac:dyDescent="0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" x14ac:dyDescent="0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" x14ac:dyDescent="0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" x14ac:dyDescent="0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" x14ac:dyDescent="0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" x14ac:dyDescent="0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" x14ac:dyDescent="0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" x14ac:dyDescent="0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" x14ac:dyDescent="0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" x14ac:dyDescent="0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" x14ac:dyDescent="0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" x14ac:dyDescent="0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" x14ac:dyDescent="0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" x14ac:dyDescent="0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" x14ac:dyDescent="0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" x14ac:dyDescent="0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" x14ac:dyDescent="0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" x14ac:dyDescent="0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" x14ac:dyDescent="0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" x14ac:dyDescent="0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" x14ac:dyDescent="0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" x14ac:dyDescent="0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" x14ac:dyDescent="0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" x14ac:dyDescent="0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" x14ac:dyDescent="0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" x14ac:dyDescent="0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" x14ac:dyDescent="0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" x14ac:dyDescent="0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" x14ac:dyDescent="0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" x14ac:dyDescent="0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" x14ac:dyDescent="0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" x14ac:dyDescent="0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" x14ac:dyDescent="0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" x14ac:dyDescent="0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" x14ac:dyDescent="0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" x14ac:dyDescent="0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" x14ac:dyDescent="0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" x14ac:dyDescent="0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" x14ac:dyDescent="0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" x14ac:dyDescent="0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" x14ac:dyDescent="0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" x14ac:dyDescent="0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" x14ac:dyDescent="0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" x14ac:dyDescent="0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" x14ac:dyDescent="0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" x14ac:dyDescent="0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" x14ac:dyDescent="0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" x14ac:dyDescent="0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" x14ac:dyDescent="0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" x14ac:dyDescent="0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" x14ac:dyDescent="0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" x14ac:dyDescent="0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" x14ac:dyDescent="0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" x14ac:dyDescent="0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" x14ac:dyDescent="0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" x14ac:dyDescent="0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" x14ac:dyDescent="0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" x14ac:dyDescent="0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" x14ac:dyDescent="0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" x14ac:dyDescent="0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" x14ac:dyDescent="0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" x14ac:dyDescent="0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" x14ac:dyDescent="0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" x14ac:dyDescent="0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" x14ac:dyDescent="0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" x14ac:dyDescent="0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" x14ac:dyDescent="0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" x14ac:dyDescent="0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" x14ac:dyDescent="0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" x14ac:dyDescent="0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" x14ac:dyDescent="0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" x14ac:dyDescent="0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" x14ac:dyDescent="0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" x14ac:dyDescent="0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" x14ac:dyDescent="0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" x14ac:dyDescent="0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" x14ac:dyDescent="0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" x14ac:dyDescent="0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" x14ac:dyDescent="0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" x14ac:dyDescent="0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" x14ac:dyDescent="0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" x14ac:dyDescent="0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" x14ac:dyDescent="0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" x14ac:dyDescent="0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" x14ac:dyDescent="0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" x14ac:dyDescent="0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" x14ac:dyDescent="0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" x14ac:dyDescent="0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" x14ac:dyDescent="0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" x14ac:dyDescent="0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" x14ac:dyDescent="0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" x14ac:dyDescent="0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" x14ac:dyDescent="0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" x14ac:dyDescent="0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" x14ac:dyDescent="0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" x14ac:dyDescent="0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" x14ac:dyDescent="0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" x14ac:dyDescent="0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" x14ac:dyDescent="0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" x14ac:dyDescent="0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" x14ac:dyDescent="0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" x14ac:dyDescent="0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" x14ac:dyDescent="0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" x14ac:dyDescent="0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" x14ac:dyDescent="0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" x14ac:dyDescent="0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" x14ac:dyDescent="0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" x14ac:dyDescent="0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" x14ac:dyDescent="0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" x14ac:dyDescent="0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" x14ac:dyDescent="0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" x14ac:dyDescent="0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" x14ac:dyDescent="0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" x14ac:dyDescent="0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" x14ac:dyDescent="0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" x14ac:dyDescent="0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" x14ac:dyDescent="0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" x14ac:dyDescent="0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" x14ac:dyDescent="0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" x14ac:dyDescent="0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" x14ac:dyDescent="0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" x14ac:dyDescent="0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" x14ac:dyDescent="0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" x14ac:dyDescent="0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" x14ac:dyDescent="0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" x14ac:dyDescent="0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" x14ac:dyDescent="0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" x14ac:dyDescent="0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" x14ac:dyDescent="0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" x14ac:dyDescent="0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" x14ac:dyDescent="0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" x14ac:dyDescent="0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" x14ac:dyDescent="0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" x14ac:dyDescent="0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" x14ac:dyDescent="0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" x14ac:dyDescent="0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" x14ac:dyDescent="0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" x14ac:dyDescent="0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" x14ac:dyDescent="0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" x14ac:dyDescent="0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" x14ac:dyDescent="0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" x14ac:dyDescent="0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" x14ac:dyDescent="0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" x14ac:dyDescent="0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" x14ac:dyDescent="0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" x14ac:dyDescent="0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" x14ac:dyDescent="0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" x14ac:dyDescent="0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" x14ac:dyDescent="0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" x14ac:dyDescent="0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" x14ac:dyDescent="0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" x14ac:dyDescent="0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" x14ac:dyDescent="0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" x14ac:dyDescent="0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" x14ac:dyDescent="0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" x14ac:dyDescent="0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" x14ac:dyDescent="0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" x14ac:dyDescent="0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" x14ac:dyDescent="0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" x14ac:dyDescent="0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" x14ac:dyDescent="0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" x14ac:dyDescent="0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" x14ac:dyDescent="0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" x14ac:dyDescent="0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" x14ac:dyDescent="0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" x14ac:dyDescent="0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" x14ac:dyDescent="0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" x14ac:dyDescent="0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" x14ac:dyDescent="0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" x14ac:dyDescent="0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" x14ac:dyDescent="0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" x14ac:dyDescent="0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" x14ac:dyDescent="0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" x14ac:dyDescent="0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" x14ac:dyDescent="0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" x14ac:dyDescent="0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" x14ac:dyDescent="0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" x14ac:dyDescent="0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" x14ac:dyDescent="0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" x14ac:dyDescent="0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" x14ac:dyDescent="0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" x14ac:dyDescent="0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" x14ac:dyDescent="0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" x14ac:dyDescent="0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" x14ac:dyDescent="0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" x14ac:dyDescent="0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" x14ac:dyDescent="0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" x14ac:dyDescent="0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" x14ac:dyDescent="0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" x14ac:dyDescent="0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" x14ac:dyDescent="0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" x14ac:dyDescent="0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" x14ac:dyDescent="0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" x14ac:dyDescent="0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" x14ac:dyDescent="0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" x14ac:dyDescent="0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" x14ac:dyDescent="0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" x14ac:dyDescent="0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" x14ac:dyDescent="0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" x14ac:dyDescent="0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" x14ac:dyDescent="0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" x14ac:dyDescent="0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" x14ac:dyDescent="0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" x14ac:dyDescent="0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" x14ac:dyDescent="0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" x14ac:dyDescent="0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" x14ac:dyDescent="0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" x14ac:dyDescent="0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" x14ac:dyDescent="0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" x14ac:dyDescent="0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" x14ac:dyDescent="0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" x14ac:dyDescent="0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" x14ac:dyDescent="0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" x14ac:dyDescent="0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" x14ac:dyDescent="0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" x14ac:dyDescent="0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" x14ac:dyDescent="0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" x14ac:dyDescent="0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" x14ac:dyDescent="0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" x14ac:dyDescent="0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" x14ac:dyDescent="0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" x14ac:dyDescent="0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" x14ac:dyDescent="0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" x14ac:dyDescent="0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" x14ac:dyDescent="0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" x14ac:dyDescent="0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" x14ac:dyDescent="0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" x14ac:dyDescent="0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" x14ac:dyDescent="0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" x14ac:dyDescent="0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" x14ac:dyDescent="0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" x14ac:dyDescent="0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" x14ac:dyDescent="0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" x14ac:dyDescent="0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" x14ac:dyDescent="0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" x14ac:dyDescent="0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" x14ac:dyDescent="0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" x14ac:dyDescent="0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" x14ac:dyDescent="0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" x14ac:dyDescent="0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" x14ac:dyDescent="0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" x14ac:dyDescent="0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" x14ac:dyDescent="0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" x14ac:dyDescent="0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" x14ac:dyDescent="0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" x14ac:dyDescent="0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" x14ac:dyDescent="0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" x14ac:dyDescent="0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" x14ac:dyDescent="0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" x14ac:dyDescent="0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" x14ac:dyDescent="0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" x14ac:dyDescent="0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" x14ac:dyDescent="0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" x14ac:dyDescent="0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" x14ac:dyDescent="0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" x14ac:dyDescent="0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" x14ac:dyDescent="0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" x14ac:dyDescent="0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" x14ac:dyDescent="0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" x14ac:dyDescent="0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" x14ac:dyDescent="0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" x14ac:dyDescent="0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" x14ac:dyDescent="0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" x14ac:dyDescent="0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" x14ac:dyDescent="0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" x14ac:dyDescent="0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" x14ac:dyDescent="0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" x14ac:dyDescent="0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" x14ac:dyDescent="0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" x14ac:dyDescent="0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" x14ac:dyDescent="0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" x14ac:dyDescent="0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" x14ac:dyDescent="0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" x14ac:dyDescent="0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" x14ac:dyDescent="0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" x14ac:dyDescent="0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" x14ac:dyDescent="0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" x14ac:dyDescent="0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" x14ac:dyDescent="0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" x14ac:dyDescent="0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" x14ac:dyDescent="0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" x14ac:dyDescent="0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" x14ac:dyDescent="0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" x14ac:dyDescent="0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" x14ac:dyDescent="0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" x14ac:dyDescent="0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" x14ac:dyDescent="0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" x14ac:dyDescent="0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" x14ac:dyDescent="0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" x14ac:dyDescent="0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" x14ac:dyDescent="0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" x14ac:dyDescent="0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" x14ac:dyDescent="0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" x14ac:dyDescent="0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" x14ac:dyDescent="0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" x14ac:dyDescent="0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" x14ac:dyDescent="0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" x14ac:dyDescent="0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" x14ac:dyDescent="0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" x14ac:dyDescent="0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" x14ac:dyDescent="0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" x14ac:dyDescent="0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" x14ac:dyDescent="0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" x14ac:dyDescent="0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" x14ac:dyDescent="0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" x14ac:dyDescent="0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" x14ac:dyDescent="0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" x14ac:dyDescent="0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" x14ac:dyDescent="0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" x14ac:dyDescent="0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" x14ac:dyDescent="0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" x14ac:dyDescent="0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" x14ac:dyDescent="0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" x14ac:dyDescent="0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" x14ac:dyDescent="0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" x14ac:dyDescent="0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" x14ac:dyDescent="0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" x14ac:dyDescent="0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" x14ac:dyDescent="0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" x14ac:dyDescent="0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" x14ac:dyDescent="0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" x14ac:dyDescent="0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" x14ac:dyDescent="0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" x14ac:dyDescent="0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" x14ac:dyDescent="0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" x14ac:dyDescent="0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" x14ac:dyDescent="0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" x14ac:dyDescent="0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" x14ac:dyDescent="0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" x14ac:dyDescent="0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" x14ac:dyDescent="0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" x14ac:dyDescent="0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" x14ac:dyDescent="0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" x14ac:dyDescent="0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" x14ac:dyDescent="0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" x14ac:dyDescent="0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" x14ac:dyDescent="0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" x14ac:dyDescent="0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" x14ac:dyDescent="0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" x14ac:dyDescent="0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" x14ac:dyDescent="0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" x14ac:dyDescent="0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" x14ac:dyDescent="0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" x14ac:dyDescent="0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" x14ac:dyDescent="0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" x14ac:dyDescent="0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" x14ac:dyDescent="0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" x14ac:dyDescent="0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" x14ac:dyDescent="0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" x14ac:dyDescent="0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" x14ac:dyDescent="0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" x14ac:dyDescent="0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" x14ac:dyDescent="0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" x14ac:dyDescent="0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" x14ac:dyDescent="0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" x14ac:dyDescent="0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" x14ac:dyDescent="0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" x14ac:dyDescent="0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" x14ac:dyDescent="0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" x14ac:dyDescent="0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" x14ac:dyDescent="0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" x14ac:dyDescent="0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" x14ac:dyDescent="0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" x14ac:dyDescent="0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" x14ac:dyDescent="0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" x14ac:dyDescent="0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" x14ac:dyDescent="0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" x14ac:dyDescent="0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" x14ac:dyDescent="0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" x14ac:dyDescent="0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" x14ac:dyDescent="0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" x14ac:dyDescent="0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" x14ac:dyDescent="0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" x14ac:dyDescent="0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" x14ac:dyDescent="0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" x14ac:dyDescent="0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" x14ac:dyDescent="0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" x14ac:dyDescent="0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" x14ac:dyDescent="0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" x14ac:dyDescent="0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" x14ac:dyDescent="0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" x14ac:dyDescent="0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" x14ac:dyDescent="0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" x14ac:dyDescent="0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" x14ac:dyDescent="0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" x14ac:dyDescent="0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" x14ac:dyDescent="0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" x14ac:dyDescent="0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" x14ac:dyDescent="0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" x14ac:dyDescent="0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" x14ac:dyDescent="0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" x14ac:dyDescent="0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" x14ac:dyDescent="0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" x14ac:dyDescent="0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" x14ac:dyDescent="0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" x14ac:dyDescent="0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" x14ac:dyDescent="0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" x14ac:dyDescent="0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" x14ac:dyDescent="0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" x14ac:dyDescent="0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" x14ac:dyDescent="0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" x14ac:dyDescent="0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" x14ac:dyDescent="0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" x14ac:dyDescent="0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" x14ac:dyDescent="0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" x14ac:dyDescent="0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" x14ac:dyDescent="0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" x14ac:dyDescent="0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" x14ac:dyDescent="0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" x14ac:dyDescent="0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" x14ac:dyDescent="0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" x14ac:dyDescent="0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" x14ac:dyDescent="0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" x14ac:dyDescent="0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" x14ac:dyDescent="0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" x14ac:dyDescent="0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" x14ac:dyDescent="0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" x14ac:dyDescent="0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" x14ac:dyDescent="0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" x14ac:dyDescent="0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" x14ac:dyDescent="0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" x14ac:dyDescent="0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" x14ac:dyDescent="0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" x14ac:dyDescent="0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" x14ac:dyDescent="0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" x14ac:dyDescent="0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" x14ac:dyDescent="0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" x14ac:dyDescent="0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" x14ac:dyDescent="0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" x14ac:dyDescent="0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" x14ac:dyDescent="0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" x14ac:dyDescent="0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" x14ac:dyDescent="0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" x14ac:dyDescent="0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" x14ac:dyDescent="0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" x14ac:dyDescent="0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" x14ac:dyDescent="0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" x14ac:dyDescent="0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" x14ac:dyDescent="0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" x14ac:dyDescent="0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" x14ac:dyDescent="0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" x14ac:dyDescent="0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" x14ac:dyDescent="0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" x14ac:dyDescent="0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" x14ac:dyDescent="0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" x14ac:dyDescent="0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" x14ac:dyDescent="0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" x14ac:dyDescent="0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" x14ac:dyDescent="0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" x14ac:dyDescent="0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" x14ac:dyDescent="0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" x14ac:dyDescent="0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" x14ac:dyDescent="0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" x14ac:dyDescent="0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" x14ac:dyDescent="0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" x14ac:dyDescent="0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" x14ac:dyDescent="0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" x14ac:dyDescent="0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" x14ac:dyDescent="0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" x14ac:dyDescent="0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" x14ac:dyDescent="0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" x14ac:dyDescent="0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" x14ac:dyDescent="0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" x14ac:dyDescent="0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" x14ac:dyDescent="0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" x14ac:dyDescent="0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" x14ac:dyDescent="0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" x14ac:dyDescent="0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" x14ac:dyDescent="0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" x14ac:dyDescent="0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" x14ac:dyDescent="0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" x14ac:dyDescent="0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" x14ac:dyDescent="0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" x14ac:dyDescent="0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" x14ac:dyDescent="0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" x14ac:dyDescent="0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" x14ac:dyDescent="0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" x14ac:dyDescent="0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" x14ac:dyDescent="0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" x14ac:dyDescent="0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" x14ac:dyDescent="0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" x14ac:dyDescent="0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" x14ac:dyDescent="0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" x14ac:dyDescent="0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" x14ac:dyDescent="0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" x14ac:dyDescent="0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" x14ac:dyDescent="0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" x14ac:dyDescent="0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" x14ac:dyDescent="0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" x14ac:dyDescent="0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" x14ac:dyDescent="0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" x14ac:dyDescent="0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" x14ac:dyDescent="0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" x14ac:dyDescent="0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" x14ac:dyDescent="0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" x14ac:dyDescent="0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" x14ac:dyDescent="0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" x14ac:dyDescent="0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" x14ac:dyDescent="0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" x14ac:dyDescent="0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" x14ac:dyDescent="0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" x14ac:dyDescent="0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" x14ac:dyDescent="0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" x14ac:dyDescent="0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" x14ac:dyDescent="0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" x14ac:dyDescent="0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" x14ac:dyDescent="0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" x14ac:dyDescent="0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" x14ac:dyDescent="0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" x14ac:dyDescent="0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" x14ac:dyDescent="0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" x14ac:dyDescent="0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" x14ac:dyDescent="0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" x14ac:dyDescent="0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" x14ac:dyDescent="0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" x14ac:dyDescent="0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" x14ac:dyDescent="0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" x14ac:dyDescent="0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" x14ac:dyDescent="0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" x14ac:dyDescent="0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" x14ac:dyDescent="0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" x14ac:dyDescent="0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" x14ac:dyDescent="0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" x14ac:dyDescent="0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" x14ac:dyDescent="0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" x14ac:dyDescent="0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" x14ac:dyDescent="0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" x14ac:dyDescent="0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" x14ac:dyDescent="0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" x14ac:dyDescent="0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" x14ac:dyDescent="0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" x14ac:dyDescent="0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" x14ac:dyDescent="0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" x14ac:dyDescent="0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" x14ac:dyDescent="0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" x14ac:dyDescent="0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" x14ac:dyDescent="0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" x14ac:dyDescent="0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" x14ac:dyDescent="0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" x14ac:dyDescent="0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" x14ac:dyDescent="0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" x14ac:dyDescent="0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" x14ac:dyDescent="0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" x14ac:dyDescent="0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" x14ac:dyDescent="0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" x14ac:dyDescent="0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" x14ac:dyDescent="0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" x14ac:dyDescent="0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" x14ac:dyDescent="0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" x14ac:dyDescent="0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" x14ac:dyDescent="0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" x14ac:dyDescent="0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" x14ac:dyDescent="0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" x14ac:dyDescent="0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" x14ac:dyDescent="0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" x14ac:dyDescent="0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" x14ac:dyDescent="0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" x14ac:dyDescent="0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" x14ac:dyDescent="0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" x14ac:dyDescent="0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" x14ac:dyDescent="0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" x14ac:dyDescent="0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" x14ac:dyDescent="0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" x14ac:dyDescent="0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" x14ac:dyDescent="0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" x14ac:dyDescent="0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" x14ac:dyDescent="0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" x14ac:dyDescent="0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" x14ac:dyDescent="0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" x14ac:dyDescent="0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" x14ac:dyDescent="0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" x14ac:dyDescent="0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" x14ac:dyDescent="0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" x14ac:dyDescent="0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" x14ac:dyDescent="0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" x14ac:dyDescent="0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" x14ac:dyDescent="0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" x14ac:dyDescent="0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" x14ac:dyDescent="0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" x14ac:dyDescent="0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" x14ac:dyDescent="0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" x14ac:dyDescent="0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" x14ac:dyDescent="0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" x14ac:dyDescent="0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" x14ac:dyDescent="0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" x14ac:dyDescent="0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" x14ac:dyDescent="0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" x14ac:dyDescent="0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" x14ac:dyDescent="0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" x14ac:dyDescent="0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" x14ac:dyDescent="0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" x14ac:dyDescent="0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" x14ac:dyDescent="0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" x14ac:dyDescent="0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" x14ac:dyDescent="0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" x14ac:dyDescent="0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" x14ac:dyDescent="0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" x14ac:dyDescent="0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" x14ac:dyDescent="0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" x14ac:dyDescent="0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" x14ac:dyDescent="0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" x14ac:dyDescent="0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" x14ac:dyDescent="0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" x14ac:dyDescent="0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" x14ac:dyDescent="0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" x14ac:dyDescent="0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" x14ac:dyDescent="0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" x14ac:dyDescent="0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" x14ac:dyDescent="0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" x14ac:dyDescent="0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" x14ac:dyDescent="0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" x14ac:dyDescent="0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" x14ac:dyDescent="0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" x14ac:dyDescent="0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" x14ac:dyDescent="0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" x14ac:dyDescent="0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" x14ac:dyDescent="0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" x14ac:dyDescent="0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" x14ac:dyDescent="0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" x14ac:dyDescent="0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" x14ac:dyDescent="0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" x14ac:dyDescent="0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" x14ac:dyDescent="0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" x14ac:dyDescent="0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" x14ac:dyDescent="0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" x14ac:dyDescent="0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" x14ac:dyDescent="0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" x14ac:dyDescent="0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" x14ac:dyDescent="0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" x14ac:dyDescent="0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" x14ac:dyDescent="0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" x14ac:dyDescent="0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" x14ac:dyDescent="0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" x14ac:dyDescent="0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" x14ac:dyDescent="0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" x14ac:dyDescent="0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" x14ac:dyDescent="0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" x14ac:dyDescent="0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" x14ac:dyDescent="0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" x14ac:dyDescent="0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" x14ac:dyDescent="0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" x14ac:dyDescent="0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" x14ac:dyDescent="0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" x14ac:dyDescent="0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" x14ac:dyDescent="0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" x14ac:dyDescent="0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" x14ac:dyDescent="0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" x14ac:dyDescent="0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" x14ac:dyDescent="0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" x14ac:dyDescent="0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" x14ac:dyDescent="0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" x14ac:dyDescent="0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" x14ac:dyDescent="0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" x14ac:dyDescent="0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" x14ac:dyDescent="0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" x14ac:dyDescent="0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" x14ac:dyDescent="0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" x14ac:dyDescent="0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" x14ac:dyDescent="0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" x14ac:dyDescent="0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" x14ac:dyDescent="0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" x14ac:dyDescent="0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" x14ac:dyDescent="0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" x14ac:dyDescent="0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" x14ac:dyDescent="0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" x14ac:dyDescent="0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" x14ac:dyDescent="0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" x14ac:dyDescent="0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" x14ac:dyDescent="0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" x14ac:dyDescent="0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" x14ac:dyDescent="0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" x14ac:dyDescent="0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" x14ac:dyDescent="0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" x14ac:dyDescent="0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" x14ac:dyDescent="0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" x14ac:dyDescent="0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" x14ac:dyDescent="0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" x14ac:dyDescent="0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" x14ac:dyDescent="0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" x14ac:dyDescent="0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" x14ac:dyDescent="0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" x14ac:dyDescent="0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" x14ac:dyDescent="0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" x14ac:dyDescent="0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" x14ac:dyDescent="0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" x14ac:dyDescent="0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" x14ac:dyDescent="0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" x14ac:dyDescent="0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" x14ac:dyDescent="0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" x14ac:dyDescent="0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" x14ac:dyDescent="0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" x14ac:dyDescent="0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" x14ac:dyDescent="0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" x14ac:dyDescent="0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" x14ac:dyDescent="0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" x14ac:dyDescent="0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" x14ac:dyDescent="0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" x14ac:dyDescent="0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" x14ac:dyDescent="0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" x14ac:dyDescent="0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" x14ac:dyDescent="0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" x14ac:dyDescent="0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" x14ac:dyDescent="0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" x14ac:dyDescent="0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" x14ac:dyDescent="0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" x14ac:dyDescent="0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" x14ac:dyDescent="0.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" x14ac:dyDescent="0.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" x14ac:dyDescent="0.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" x14ac:dyDescent="0.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" x14ac:dyDescent="0.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3" x14ac:dyDescent="0.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3" x14ac:dyDescent="0.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3" x14ac:dyDescent="0.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3" x14ac:dyDescent="0.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3" x14ac:dyDescent="0.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3" x14ac:dyDescent="0.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3" x14ac:dyDescent="0.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3" x14ac:dyDescent="0.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3" x14ac:dyDescent="0.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3" x14ac:dyDescent="0.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3" x14ac:dyDescent="0.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3" x14ac:dyDescent="0.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3" x14ac:dyDescent="0.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3" x14ac:dyDescent="0.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3" x14ac:dyDescent="0.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3" x14ac:dyDescent="0.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3" x14ac:dyDescent="0.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3" x14ac:dyDescent="0.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3" x14ac:dyDescent="0.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13" x14ac:dyDescent="0.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3" x14ac:dyDescent="0.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3" x14ac:dyDescent="0.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13" x14ac:dyDescent="0.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13" x14ac:dyDescent="0.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13" x14ac:dyDescent="0.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13" x14ac:dyDescent="0.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t="13" x14ac:dyDescent="0.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13" x14ac:dyDescent="0.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</sheetData>
  <mergeCells count="3">
    <mergeCell ref="A3:D3"/>
    <mergeCell ref="A2:D2"/>
    <mergeCell ref="A1:D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Bilal</cp:lastModifiedBy>
  <dcterms:modified xsi:type="dcterms:W3CDTF">2023-11-20T20:33:31Z</dcterms:modified>
</cp:coreProperties>
</file>